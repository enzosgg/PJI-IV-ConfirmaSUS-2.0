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og\OneDrive\Área de Trabalho\"/>
    </mc:Choice>
  </mc:AlternateContent>
  <xr:revisionPtr revIDLastSave="0" documentId="13_ncr:1_{43CE7E17-99A4-47F0-8A1E-A2F5230F6DC2}" xr6:coauthVersionLast="47" xr6:coauthVersionMax="47" xr10:uidLastSave="{00000000-0000-0000-0000-000000000000}"/>
  <bookViews>
    <workbookView xWindow="-120" yWindow="-120" windowWidth="29040" windowHeight="15720" xr2:uid="{7C99FD2D-B0AA-4ACE-B7CE-CB6723012DFA}"/>
  </bookViews>
  <sheets>
    <sheet name="Relatório" sheetId="1" r:id="rId1"/>
    <sheet name="Setor de Presença e Absenteísmo" sheetId="2" r:id="rId2"/>
    <sheet name="Setor de Eficiência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K5" i="1"/>
  <c r="K7" i="1"/>
  <c r="K8" i="1"/>
  <c r="H17" i="1"/>
  <c r="J17" i="1"/>
  <c r="K16" i="1"/>
  <c r="K15" i="1"/>
  <c r="K14" i="1"/>
  <c r="K13" i="1"/>
  <c r="K12" i="1"/>
  <c r="K11" i="1"/>
  <c r="K10" i="1"/>
  <c r="K9" i="1"/>
  <c r="I17" i="1"/>
  <c r="L5" i="1"/>
  <c r="O5" i="1" s="1"/>
  <c r="L11" i="1"/>
  <c r="O11" i="1" s="1"/>
  <c r="L9" i="1"/>
  <c r="O9" i="1" s="1"/>
  <c r="L15" i="1"/>
  <c r="O15" i="1" s="1"/>
  <c r="L6" i="1"/>
  <c r="O6" i="1" s="1"/>
  <c r="L14" i="1"/>
  <c r="O14" i="1" s="1"/>
  <c r="L13" i="1"/>
  <c r="O13" i="1" s="1"/>
  <c r="M15" i="1"/>
  <c r="N15" i="1"/>
  <c r="L16" i="1"/>
  <c r="O16" i="1"/>
  <c r="L8" i="1"/>
  <c r="O8" i="1" s="1"/>
  <c r="M6" i="1"/>
  <c r="N6" i="1"/>
  <c r="N11" i="1"/>
  <c r="M11" i="1"/>
  <c r="N9" i="1"/>
  <c r="M9" i="1"/>
  <c r="L10" i="1"/>
  <c r="O10" i="1" s="1"/>
  <c r="N16" i="1"/>
  <c r="M16" i="1"/>
  <c r="N8" i="1"/>
  <c r="M8" i="1"/>
  <c r="L12" i="1"/>
  <c r="O12" i="1" s="1"/>
  <c r="M5" i="1"/>
  <c r="N5" i="1"/>
  <c r="L7" i="1"/>
  <c r="O7" i="1" s="1"/>
  <c r="N13" i="1"/>
  <c r="M13" i="1"/>
  <c r="M14" i="1"/>
  <c r="N14" i="1"/>
  <c r="M7" i="1"/>
  <c r="N7" i="1"/>
  <c r="N10" i="1"/>
  <c r="M10" i="1"/>
  <c r="M12" i="1"/>
  <c r="N12" i="1"/>
  <c r="K17" i="1" l="1"/>
  <c r="N17" i="1"/>
  <c r="M17" i="1"/>
  <c r="L17" i="1"/>
  <c r="O17" i="1" s="1"/>
</calcChain>
</file>

<file path=xl/sharedStrings.xml><?xml version="1.0" encoding="utf-8"?>
<sst xmlns="http://schemas.openxmlformats.org/spreadsheetml/2006/main" count="26" uniqueCount="26">
  <si>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</si>
  <si>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</si>
  <si>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</si>
  <si>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</si>
  <si>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</si>
  <si>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</si>
  <si>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</si>
  <si>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</si>
  <si>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</si>
  <si>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</si>
  <si>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</si>
  <si>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</si>
  <si>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</t>
  </si>
  <si>
    <t>Ofertadas</t>
  </si>
  <si>
    <t>Realizadas</t>
  </si>
  <si>
    <t>Agendadas</t>
  </si>
  <si>
    <t>Perda Primária</t>
  </si>
  <si>
    <t>Relação</t>
  </si>
  <si>
    <t>Absenteísmo</t>
  </si>
  <si>
    <t>Taxa de Ocupação</t>
  </si>
  <si>
    <t>Faltas</t>
  </si>
  <si>
    <t>Total</t>
  </si>
  <si>
    <t>SETOR DE PRESENÇA E ABSENTEÍSMO</t>
  </si>
  <si>
    <t>RELATÓRIO CONSULTAS 2025</t>
  </si>
  <si>
    <t>SETOR DE EFICIÊNCIA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</si>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</sst>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NumberFormat="1" applyFont="1"/>
    <xf numFmtId="10" fontId="3" fillId="0" borderId="0" xfId="0" applyNumberFormat="1" applyFont="1"/>
    <xf numFmtId="0" fontId="5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/>
                </a:solidFill>
              </a:rPr>
              <a:t>QUANTIDADE MENSAL DE CONSULTAS AGENDADAS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 Mensal de Consultas Agendadas</c:v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Relatório!$G$5:$G$16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Relatório!$I$5:$I$16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9823-4168-84E9-E112B3D6A0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383126896"/>
        <c:axId val="383128336"/>
      </c:barChart>
      <c:catAx>
        <c:axId val="383126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/>
                  <a:t>MESES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128336"/>
        <c:crosses val="autoZero"/>
        <c:auto val="1"/>
        <c:lblAlgn val="ctr"/>
        <c:lblOffset val="100"/>
        <c:noMultiLvlLbl val="0"/>
      </c:catAx>
      <c:valAx>
        <c:axId val="38312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CONSULTAS AGENDADAS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12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none">
                <a:solidFill>
                  <a:schemeClr val="tx1"/>
                </a:solidFill>
              </a:rPr>
              <a:t>QUANTIDADE MENSAL DE PRESENÇA DOS</a:t>
            </a:r>
            <a:r>
              <a:rPr lang="en-US" sz="1600" b="1" i="0" u="none" baseline="0">
                <a:solidFill>
                  <a:schemeClr val="tx1"/>
                </a:solidFill>
              </a:rPr>
              <a:t> PACIENTES NAS CONSULTAS</a:t>
            </a:r>
            <a:endParaRPr lang="en-US" sz="1600" b="1" i="0" u="none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 Mensal de Presença dos Pacientes nas Consultas</c:v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Relatório!$G$5:$G$16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Relatório!$J$5:$J$16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5D4B-4F21-AC23-D4FD831756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543143776"/>
        <c:axId val="543154816"/>
      </c:barChart>
      <c:catAx>
        <c:axId val="54314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154816"/>
        <c:crosses val="autoZero"/>
        <c:auto val="1"/>
        <c:lblAlgn val="ctr"/>
        <c:lblOffset val="100"/>
        <c:noMultiLvlLbl val="0"/>
      </c:catAx>
      <c:valAx>
        <c:axId val="5431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Pacientes</a:t>
                </a:r>
                <a:endParaRPr lang="pt-BR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14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none" strike="noStrike" kern="1200" cap="none" spc="50" normalizeH="0" baseline="0">
                <a:solidFill>
                  <a:schemeClr val="tx1"/>
                </a:solidFill>
              </a:rPr>
              <a:t>QUANTIDADE MENSAL DE FALTA DOS PACIENTES NAS CONSULTAS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 MENSAL DE FALTA DOS PACIENTES NAS CONSULTAS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Relatório!$G$5:$G$16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Relatório!$K$5:$K$16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3-4DA1-AF67-ED9A3837E7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716039424"/>
        <c:axId val="716029824"/>
      </c:barChart>
      <c:catAx>
        <c:axId val="71603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6029824"/>
        <c:crosses val="autoZero"/>
        <c:auto val="1"/>
        <c:lblAlgn val="ctr"/>
        <c:lblOffset val="100"/>
        <c:noMultiLvlLbl val="0"/>
      </c:catAx>
      <c:valAx>
        <c:axId val="71602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Pacientes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603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/>
                </a:solidFill>
              </a:rPr>
              <a:t>ABSENTEÍSMO MENSAL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Absenteísmo (%) 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Relatório!$G$5:$G$16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Relatório!$N$5:$N$16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6-4F06-8916-DC11431940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605333584"/>
        <c:axId val="605334064"/>
      </c:barChart>
      <c:catAx>
        <c:axId val="605333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MESES</a:t>
                </a:r>
                <a:endParaRPr lang="pt-BR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334064"/>
        <c:crosses val="autoZero"/>
        <c:auto val="1"/>
        <c:lblAlgn val="ctr"/>
        <c:lblOffset val="100"/>
        <c:noMultiLvlLbl val="0"/>
      </c:catAx>
      <c:valAx>
        <c:axId val="6053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chemeClr val="tx1"/>
                    </a:solidFill>
                  </a:rPr>
                  <a:t>ABSENTEÍSMO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33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 b="1">
                <a:solidFill>
                  <a:schemeClr val="tx1"/>
                </a:solidFill>
              </a:rPr>
              <a:t>QUANTIDADE MENSAL DE CONSULTAS OFERTADAS</a:t>
            </a:r>
          </a:p>
        </c:rich>
      </c:tx>
      <c:layout>
        <c:manualLayout>
          <c:xMode val="edge"/>
          <c:yMode val="edge"/>
          <c:x val="0.12600507936507938"/>
          <c:y val="2.8222222222222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 Mensal de Consultas Ofertadas</c:v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Relatório!$G$5:$G$16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Relatório!$H$5:$H$16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527F-47EF-B3F6-7AA5ED0A14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577631584"/>
        <c:axId val="387158912"/>
      </c:barChart>
      <c:catAx>
        <c:axId val="577631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MESES</a:t>
                </a:r>
                <a:endParaRPr lang="pt-BR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158912"/>
        <c:crosses val="autoZero"/>
        <c:auto val="1"/>
        <c:lblAlgn val="ctr"/>
        <c:lblOffset val="100"/>
        <c:noMultiLvlLbl val="0"/>
      </c:catAx>
      <c:valAx>
        <c:axId val="38715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CONSULTAS OFERTADAS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763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/>
                </a:solidFill>
              </a:rPr>
              <a:t>QUANTIDADE MENSAL DE PERDA PRIMÁRIA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 Mensal de Perda Primária</c:v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Relatório!$G$5:$G$16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Relatório!$L$5:$L$16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1-4933-9B70-39D8BC2BD4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576753536"/>
        <c:axId val="228704400"/>
      </c:barChart>
      <c:catAx>
        <c:axId val="576753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MESES</a:t>
                </a:r>
                <a:endParaRPr lang="pt-BR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8704400"/>
        <c:crosses val="autoZero"/>
        <c:auto val="1"/>
        <c:lblAlgn val="ctr"/>
        <c:lblOffset val="100"/>
        <c:noMultiLvlLbl val="0"/>
      </c:catAx>
      <c:valAx>
        <c:axId val="2287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PERDA PRIMÁRIA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675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/>
                </a:solidFill>
              </a:rPr>
              <a:t>RELAÇÃO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Relação Mensal</c:v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Relatório!$G$5:$G$16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Relatório!$M$5:$M$16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4-4BA0-9F4C-0D3B4EF4F7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490101232"/>
        <c:axId val="463262192"/>
      </c:barChart>
      <c:catAx>
        <c:axId val="49010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chemeClr val="tx1"/>
                    </a:solidFill>
                  </a:rPr>
                  <a:t>MESES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3262192"/>
        <c:crosses val="autoZero"/>
        <c:auto val="1"/>
        <c:lblAlgn val="ctr"/>
        <c:lblOffset val="100"/>
        <c:noMultiLvlLbl val="0"/>
      </c:catAx>
      <c:valAx>
        <c:axId val="4632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RELAÇÃO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010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/>
                </a:solidFill>
              </a:rPr>
              <a:t>QUANTIDADE MENSAL DE TAXA DE OCUPAÇÃO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 Mensal de Taxa de Ocupação</c:v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Relatório!$G$5:$G$16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Relatório!$O$5:$O$16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0-4665-B356-746A15D2E3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383443136"/>
        <c:axId val="383445056"/>
      </c:barChart>
      <c:catAx>
        <c:axId val="383443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445056"/>
        <c:crosses val="autoZero"/>
        <c:auto val="1"/>
        <c:lblAlgn val="ctr"/>
        <c:lblOffset val="100"/>
        <c:noMultiLvlLbl val="0"/>
      </c:catAx>
      <c:valAx>
        <c:axId val="38344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TAXA DE OCUPAÇÃO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44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Proporção de PRESENÇA vs.</a:t>
            </a:r>
            <a:r>
              <a:rPr lang="en-US" b="1" baseline="0">
                <a:solidFill>
                  <a:schemeClr val="tx1"/>
                </a:solidFill>
              </a:rPr>
              <a:t> </a:t>
            </a:r>
            <a:r>
              <a:rPr lang="en-US" b="1">
                <a:solidFill>
                  <a:schemeClr val="tx1"/>
                </a:solidFill>
              </a:rPr>
              <a:t>Faltas (Anual)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v>Proporção de Comparecimento vs. Faltas(Anual)</c:v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01-4DB3-9C95-B87128F261E7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01-4DB3-9C95-B87128F261E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901-4DB3-9C95-B87128F261E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901-4DB3-9C95-B87128F261E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(Relatório!$K$4,Relatório!$J$4)</c:f>
              <c:strCache>
                <c:ptCount val="2"/>
                <c:pt idx="0">
                  <c:v>Faltas</c:v>
                </c:pt>
                <c:pt idx="1">
                  <c:v>Realizadas</c:v>
                </c:pt>
              </c:strCache>
            </c:strRef>
          </c:cat>
          <c:val>
            <c:numRef>
              <c:f>(Relatório!$K$17,Relatório!$J$17)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01-4DB3-9C95-B87128F261E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/>
                </a:solidFill>
              </a:rPr>
              <a:t>PROPORÇÃO</a:t>
            </a:r>
            <a:r>
              <a:rPr lang="en-US" b="1" baseline="0">
                <a:solidFill>
                  <a:schemeClr val="tx1"/>
                </a:solidFill>
              </a:rPr>
              <a:t> DE PRESENÇA VS.FALTAS (ANUAL) 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Proporção de Presença vs Faltas (Anual)</c:v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Relatório!$I$4:$K$4</c:f>
              <c:strCache>
                <c:ptCount val="3"/>
                <c:pt idx="0">
                  <c:v>Agendadas</c:v>
                </c:pt>
                <c:pt idx="1">
                  <c:v>Realizadas</c:v>
                </c:pt>
                <c:pt idx="2">
                  <c:v>Faltas</c:v>
                </c:pt>
              </c:strCache>
            </c:strRef>
          </c:cat>
          <c:val>
            <c:numRef>
              <c:f>Relatório!$I$17:$K$17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7F-4BB5-8DEA-38FF253FF5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463261232"/>
        <c:axId val="463259792"/>
      </c:barChart>
      <c:catAx>
        <c:axId val="46326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chemeClr val="tx1"/>
                    </a:solidFill>
                  </a:rPr>
                  <a:t>Status</a:t>
                </a:r>
                <a:r>
                  <a:rPr lang="en-US" sz="1000" b="1" baseline="0">
                    <a:solidFill>
                      <a:schemeClr val="tx1"/>
                    </a:solidFill>
                  </a:rPr>
                  <a:t> da consulta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3259792"/>
        <c:crosses val="autoZero"/>
        <c:auto val="1"/>
        <c:lblAlgn val="ctr"/>
        <c:lblOffset val="100"/>
        <c:noMultiLvlLbl val="0"/>
      </c:catAx>
      <c:valAx>
        <c:axId val="46325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>
                    <a:solidFill>
                      <a:schemeClr val="tx1"/>
                    </a:solidFill>
                  </a:rPr>
                  <a:t>consultas</a:t>
                </a:r>
                <a:r>
                  <a:rPr lang="pt-BR" sz="1000" b="1" baseline="0">
                    <a:solidFill>
                      <a:schemeClr val="tx1"/>
                    </a:solidFill>
                  </a:rPr>
                  <a:t> agendadas (anual)</a:t>
                </a:r>
                <a:endParaRPr lang="pt-BR" sz="10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326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190390</xdr:rowOff>
    </xdr:from>
    <xdr:to>
      <xdr:col>12</xdr:col>
      <xdr:colOff>204000</xdr:colOff>
      <xdr:row>22</xdr:row>
      <xdr:rowOff>170890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BB2457-E5AC-49E1-9D66-6D407EFED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405600</xdr:colOff>
      <xdr:row>3</xdr:row>
      <xdr:rowOff>190390</xdr:rowOff>
    </xdr:from>
    <xdr:to>
      <xdr:col>23</xdr:col>
      <xdr:colOff>0</xdr:colOff>
      <xdr:row>22</xdr:row>
      <xdr:rowOff>170890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2B3FDB-F555-44A4-BA77-125F06DBA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24</xdr:row>
      <xdr:rowOff>19500</xdr:rowOff>
    </xdr:from>
    <xdr:to>
      <xdr:col>12</xdr:col>
      <xdr:colOff>204000</xdr:colOff>
      <xdr:row>43</xdr:row>
      <xdr:rowOff>0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520C237E-A649-4DF8-BAD7-B51283FCF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405600</xdr:colOff>
      <xdr:row>24</xdr:row>
      <xdr:rowOff>19500</xdr:rowOff>
    </xdr:from>
    <xdr:to>
      <xdr:col>23</xdr:col>
      <xdr:colOff>0</xdr:colOff>
      <xdr:row>43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BBA719A-47DD-CBB5-728D-7549E2097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19500</xdr:rowOff>
    </xdr:from>
    <xdr:to>
      <xdr:col>12</xdr:col>
      <xdr:colOff>204000</xdr:colOff>
      <xdr:row>23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2D1C17-0BEE-5216-08A2-3D3163972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405600</xdr:colOff>
      <xdr:row>4</xdr:row>
      <xdr:rowOff>19500</xdr:rowOff>
    </xdr:from>
    <xdr:to>
      <xdr:col>23</xdr:col>
      <xdr:colOff>0</xdr:colOff>
      <xdr:row>23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543803-B958-5B90-07BF-83DAB413D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13395</xdr:colOff>
      <xdr:row>24</xdr:row>
      <xdr:rowOff>0</xdr:rowOff>
    </xdr:from>
    <xdr:to>
      <xdr:col>12</xdr:col>
      <xdr:colOff>217395</xdr:colOff>
      <xdr:row>42</xdr:row>
      <xdr:rowOff>171000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7C9E59E-3A51-D1F8-8393-D2CBAB8AF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392820</xdr:colOff>
      <xdr:row>24</xdr:row>
      <xdr:rowOff>0</xdr:rowOff>
    </xdr:from>
    <xdr:to>
      <xdr:col>22</xdr:col>
      <xdr:colOff>596820</xdr:colOff>
      <xdr:row>42</xdr:row>
      <xdr:rowOff>171000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D851C51-1F41-503D-0D29-1A59E820A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394500</xdr:colOff>
      <xdr:row>4</xdr:row>
      <xdr:rowOff>0</xdr:rowOff>
    </xdr:from>
    <xdr:to>
      <xdr:col>22</xdr:col>
      <xdr:colOff>598500</xdr:colOff>
      <xdr:row>22</xdr:row>
      <xdr:rowOff>171000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8D2818-C4E8-45E2-BF34-EED617E9A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</xdr:row>
      <xdr:rowOff>0</xdr:rowOff>
    </xdr:from>
    <xdr:to>
      <xdr:col>12</xdr:col>
      <xdr:colOff>204000</xdr:colOff>
      <xdr:row>22</xdr:row>
      <xdr:rowOff>171000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21D970-4027-2B47-FB58-C138AD470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47DAA3-E6A2-4765-B6E8-9CE4B4165D83}" name="Tabela4" displayName="Tabela4" ref="G4:O17" totalsRowShown="0" headerRowDxfId="10" dataDxfId="9">
  <autoFilter ref="G4:O17" xr:uid="{4847DAA3-E6A2-4765-B6E8-9CE4B4165D83}"/>
  <tableColumns count="9">
    <tableColumn id="1" xr3:uid="{34BA4684-950E-4730-B1D7-B1FDF72F46FB}" name="Mês" dataDxfId="8"/>
    <tableColumn id="2" xr3:uid="{60582914-DE7A-48DE-A709-94B4621AE931}" name="Ofertadas" dataDxfId="7"/>
    <tableColumn id="3" xr3:uid="{1BC46AE4-AA80-4EAA-9219-F5DEF1EC3A3B}" name="Agendadas" dataDxfId="6"/>
    <tableColumn id="4" xr3:uid="{4D2455F2-DB4D-437E-913A-E74AE51AFF03}" name="Realizadas" dataDxfId="5"/>
    <tableColumn id="5" xr3:uid="{273F4077-365D-4653-8F13-EF0738963B7C}" name="Faltas" dataDxfId="4">
      <calculatedColumnFormula>I5-J5</calculatedColumnFormula>
    </tableColumn>
    <tableColumn id="6" xr3:uid="{FC6B8A4B-637E-4312-84F4-1A4CDAED925C}" name="Perda Primária" dataDxfId="3">
      <calculatedColumnFormula>H5-J5</calculatedColumnFormula>
    </tableColumn>
    <tableColumn id="7" xr3:uid="{134C9803-B076-4A76-92AB-0BE778F9BD4D}" name="Relação" dataDxfId="2">
      <calculatedColumnFormula>IFERROR((H5-I5)/H5, 0)</calculatedColumnFormula>
    </tableColumn>
    <tableColumn id="8" xr3:uid="{1B6D2B37-E038-45C5-A45B-9D70E01DF2C9}" name="Absenteísmo" dataDxfId="1">
      <calculatedColumnFormula>IFERROR((I5-J5)/I5, 0)</calculatedColumnFormula>
    </tableColumn>
    <tableColumn id="9" xr3:uid="{90973F5B-B1FC-49CC-B6A4-DB4BF921BEF5}" name="Taxa de Ocupação" dataDxfId="0">
      <calculatedColumnFormula>IFERROR((H5-L5)/H5, 0)</calculatedColumnFormula>
    </tableColumn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089B-7618-4A60-B547-B622E2B61EFF}">
  <dimension ref="G3:O17"/>
  <sheetViews>
    <sheetView tabSelected="1" topLeftCell="D1" zoomScaleNormal="100" workbookViewId="0">
      <selection activeCell="P24" sqref="P24"/>
    </sheetView>
  </sheetViews>
  <sheetFormatPr defaultRowHeight="15" x14ac:dyDescent="0.25"/>
  <cols>
    <col min="1" max="1" width="10.140625" bestFit="1" customWidth="1"/>
    <col min="2" max="2" width="11.85546875" customWidth="1"/>
    <col min="3" max="3" width="13" customWidth="1"/>
    <col min="4" max="4" width="12.85546875" customWidth="1"/>
    <col min="5" max="6" width="10.7109375" customWidth="1"/>
    <col min="7" max="7" width="14" bestFit="1" customWidth="1"/>
    <col min="8" max="8" width="16" bestFit="1" customWidth="1"/>
    <col min="9" max="9" width="17.42578125" bestFit="1" customWidth="1"/>
    <col min="10" max="10" width="17.140625" bestFit="1" customWidth="1"/>
    <col min="11" max="11" width="11.140625" bestFit="1" customWidth="1"/>
    <col min="12" max="12" width="21.85546875" bestFit="1" customWidth="1"/>
    <col min="13" max="13" width="13.5703125" bestFit="1" customWidth="1"/>
    <col min="14" max="14" width="20.42578125" bestFit="1" customWidth="1"/>
    <col min="15" max="15" width="26.140625" bestFit="1" customWidth="1"/>
  </cols>
  <sheetData>
    <row r="3" spans="7:15" ht="31.5" x14ac:dyDescent="0.25">
      <c r="G3" s="5" t="s">
        <v>23</v>
      </c>
      <c r="H3" s="6"/>
      <c r="I3" s="6"/>
      <c r="J3" s="6"/>
      <c r="K3" s="6"/>
      <c r="L3" s="6"/>
      <c r="M3" s="6"/>
      <c r="N3" s="6"/>
      <c r="O3" s="6"/>
    </row>
    <row r="4" spans="7:15" ht="21" x14ac:dyDescent="0.35">
      <c r="G4" s="1" t="s">
        <v>12</v>
      </c>
      <c r="H4" s="1" t="s">
        <v>13</v>
      </c>
      <c r="I4" s="1" t="s">
        <v>15</v>
      </c>
      <c r="J4" s="1" t="s">
        <v>14</v>
      </c>
      <c r="K4" s="1" t="s">
        <v>20</v>
      </c>
      <c r="L4" s="1" t="s">
        <v>16</v>
      </c>
      <c r="M4" s="1" t="s">
        <v>17</v>
      </c>
      <c r="N4" s="1" t="s">
        <v>18</v>
      </c>
      <c r="O4" s="1" t="s">
        <v>19</v>
      </c>
    </row>
    <row r="5" spans="7:15" ht="21" x14ac:dyDescent="0.35">
      <c r="G5" s="1" t="s">
        <v>0</v>
      </c>
      <c r="H5" s="2"/>
      <c r="I5" s="2"/>
      <c r="J5" s="2"/>
      <c r="K5" s="2">
        <f>I5-J5</f>
        <v>0</v>
      </c>
      <c r="L5" s="2">
        <f t="shared" ref="L5:L17" si="0">H5-J5</f>
        <v>0</v>
      </c>
      <c r="M5" s="3">
        <f t="shared" ref="M5:M17" si="1">IFERROR((H5-I5)/H5, 0)</f>
        <v>0</v>
      </c>
      <c r="N5" s="3">
        <f t="shared" ref="N5:N17" si="2">IFERROR((I5-J5)/I5, 0)</f>
        <v>0</v>
      </c>
      <c r="O5" s="3">
        <f t="shared" ref="O5:O17" si="3">IFERROR((H5-L5)/H5, 0)</f>
        <v>0</v>
      </c>
    </row>
    <row r="6" spans="7:15" ht="21" x14ac:dyDescent="0.35">
      <c r="G6" s="1" t="s">
        <v>1</v>
      </c>
      <c r="H6" s="2"/>
      <c r="I6" s="2"/>
      <c r="J6" s="2"/>
      <c r="K6" s="2">
        <f t="shared" ref="K6:K17" si="4">I6-J6</f>
        <v>0</v>
      </c>
      <c r="L6" s="2">
        <f t="shared" si="0"/>
        <v>0</v>
      </c>
      <c r="M6" s="3">
        <f t="shared" si="1"/>
        <v>0</v>
      </c>
      <c r="N6" s="3">
        <f t="shared" si="2"/>
        <v>0</v>
      </c>
      <c r="O6" s="3">
        <f t="shared" si="3"/>
        <v>0</v>
      </c>
    </row>
    <row r="7" spans="7:15" ht="21" x14ac:dyDescent="0.35">
      <c r="G7" s="1" t="s">
        <v>2</v>
      </c>
      <c r="H7" s="2"/>
      <c r="I7" s="2"/>
      <c r="J7" s="2"/>
      <c r="K7" s="2">
        <f t="shared" si="4"/>
        <v>0</v>
      </c>
      <c r="L7" s="2">
        <f t="shared" si="0"/>
        <v>0</v>
      </c>
      <c r="M7" s="3">
        <f t="shared" si="1"/>
        <v>0</v>
      </c>
      <c r="N7" s="3">
        <f t="shared" si="2"/>
        <v>0</v>
      </c>
      <c r="O7" s="3">
        <f t="shared" si="3"/>
        <v>0</v>
      </c>
    </row>
    <row r="8" spans="7:15" ht="21" x14ac:dyDescent="0.35">
      <c r="G8" s="1" t="s">
        <v>3</v>
      </c>
      <c r="H8" s="2"/>
      <c r="I8" s="2"/>
      <c r="J8" s="2"/>
      <c r="K8" s="2">
        <f t="shared" si="4"/>
        <v>0</v>
      </c>
      <c r="L8" s="2">
        <f t="shared" si="0"/>
        <v>0</v>
      </c>
      <c r="M8" s="3">
        <f t="shared" si="1"/>
        <v>0</v>
      </c>
      <c r="N8" s="3">
        <f t="shared" si="2"/>
        <v>0</v>
      </c>
      <c r="O8" s="3">
        <f t="shared" si="3"/>
        <v>0</v>
      </c>
    </row>
    <row r="9" spans="7:15" ht="21" x14ac:dyDescent="0.35">
      <c r="G9" s="1" t="s">
        <v>4</v>
      </c>
      <c r="H9" s="2"/>
      <c r="I9" s="2"/>
      <c r="J9" s="2"/>
      <c r="K9" s="2">
        <f t="shared" si="4"/>
        <v>0</v>
      </c>
      <c r="L9" s="2">
        <f t="shared" si="0"/>
        <v>0</v>
      </c>
      <c r="M9" s="3">
        <f t="shared" si="1"/>
        <v>0</v>
      </c>
      <c r="N9" s="3">
        <f t="shared" si="2"/>
        <v>0</v>
      </c>
      <c r="O9" s="3">
        <f t="shared" si="3"/>
        <v>0</v>
      </c>
    </row>
    <row r="10" spans="7:15" ht="21" x14ac:dyDescent="0.35">
      <c r="G10" s="1" t="s">
        <v>5</v>
      </c>
      <c r="H10" s="2"/>
      <c r="I10" s="2"/>
      <c r="J10" s="2"/>
      <c r="K10" s="2">
        <f t="shared" si="4"/>
        <v>0</v>
      </c>
      <c r="L10" s="2">
        <f t="shared" si="0"/>
        <v>0</v>
      </c>
      <c r="M10" s="3">
        <f t="shared" si="1"/>
        <v>0</v>
      </c>
      <c r="N10" s="3">
        <f t="shared" si="2"/>
        <v>0</v>
      </c>
      <c r="O10" s="3">
        <f t="shared" si="3"/>
        <v>0</v>
      </c>
    </row>
    <row r="11" spans="7:15" ht="21" x14ac:dyDescent="0.35">
      <c r="G11" s="1" t="s">
        <v>6</v>
      </c>
      <c r="H11" s="2"/>
      <c r="I11" s="2"/>
      <c r="J11" s="2"/>
      <c r="K11" s="2">
        <f t="shared" si="4"/>
        <v>0</v>
      </c>
      <c r="L11" s="2">
        <f t="shared" si="0"/>
        <v>0</v>
      </c>
      <c r="M11" s="3">
        <f t="shared" si="1"/>
        <v>0</v>
      </c>
      <c r="N11" s="3">
        <f t="shared" si="2"/>
        <v>0</v>
      </c>
      <c r="O11" s="3">
        <f t="shared" si="3"/>
        <v>0</v>
      </c>
    </row>
    <row r="12" spans="7:15" ht="21" x14ac:dyDescent="0.35">
      <c r="G12" s="1" t="s">
        <v>7</v>
      </c>
      <c r="H12" s="2"/>
      <c r="I12" s="2"/>
      <c r="J12" s="2"/>
      <c r="K12" s="2">
        <f t="shared" si="4"/>
        <v>0</v>
      </c>
      <c r="L12" s="2">
        <f t="shared" si="0"/>
        <v>0</v>
      </c>
      <c r="M12" s="3">
        <f t="shared" si="1"/>
        <v>0</v>
      </c>
      <c r="N12" s="3">
        <f t="shared" si="2"/>
        <v>0</v>
      </c>
      <c r="O12" s="3">
        <f t="shared" si="3"/>
        <v>0</v>
      </c>
    </row>
    <row r="13" spans="7:15" ht="21" x14ac:dyDescent="0.35">
      <c r="G13" s="1" t="s">
        <v>8</v>
      </c>
      <c r="H13" s="2"/>
      <c r="I13" s="2"/>
      <c r="J13" s="2"/>
      <c r="K13" s="2">
        <f t="shared" si="4"/>
        <v>0</v>
      </c>
      <c r="L13" s="2">
        <f t="shared" si="0"/>
        <v>0</v>
      </c>
      <c r="M13" s="3">
        <f t="shared" si="1"/>
        <v>0</v>
      </c>
      <c r="N13" s="3">
        <f t="shared" si="2"/>
        <v>0</v>
      </c>
      <c r="O13" s="3">
        <f t="shared" si="3"/>
        <v>0</v>
      </c>
    </row>
    <row r="14" spans="7:15" ht="21" x14ac:dyDescent="0.35">
      <c r="G14" s="1" t="s">
        <v>9</v>
      </c>
      <c r="H14" s="2"/>
      <c r="I14" s="2"/>
      <c r="J14" s="2"/>
      <c r="K14" s="2">
        <f t="shared" si="4"/>
        <v>0</v>
      </c>
      <c r="L14" s="2">
        <f t="shared" si="0"/>
        <v>0</v>
      </c>
      <c r="M14" s="3">
        <f t="shared" si="1"/>
        <v>0</v>
      </c>
      <c r="N14" s="3">
        <f t="shared" si="2"/>
        <v>0</v>
      </c>
      <c r="O14" s="3">
        <f t="shared" si="3"/>
        <v>0</v>
      </c>
    </row>
    <row r="15" spans="7:15" ht="21" x14ac:dyDescent="0.35">
      <c r="G15" s="1" t="s">
        <v>10</v>
      </c>
      <c r="H15" s="2"/>
      <c r="I15" s="2"/>
      <c r="J15" s="2"/>
      <c r="K15" s="2">
        <f t="shared" si="4"/>
        <v>0</v>
      </c>
      <c r="L15" s="2">
        <f t="shared" si="0"/>
        <v>0</v>
      </c>
      <c r="M15" s="3">
        <f t="shared" si="1"/>
        <v>0</v>
      </c>
      <c r="N15" s="3">
        <f t="shared" si="2"/>
        <v>0</v>
      </c>
      <c r="O15" s="3">
        <f t="shared" si="3"/>
        <v>0</v>
      </c>
    </row>
    <row r="16" spans="7:15" ht="21" x14ac:dyDescent="0.35">
      <c r="G16" s="1" t="s">
        <v>11</v>
      </c>
      <c r="H16" s="2"/>
      <c r="I16" s="2"/>
      <c r="J16" s="2"/>
      <c r="K16" s="2">
        <f t="shared" si="4"/>
        <v>0</v>
      </c>
      <c r="L16" s="2">
        <f t="shared" si="0"/>
        <v>0</v>
      </c>
      <c r="M16" s="3">
        <f t="shared" si="1"/>
        <v>0</v>
      </c>
      <c r="N16" s="3">
        <f t="shared" si="2"/>
        <v>0</v>
      </c>
      <c r="O16" s="3">
        <f t="shared" si="3"/>
        <v>0</v>
      </c>
    </row>
    <row r="17" spans="7:15" ht="21" x14ac:dyDescent="0.35">
      <c r="G17" s="4" t="s">
        <v>21</v>
      </c>
      <c r="H17" s="2">
        <f>SUM(H5:H16)</f>
        <v>0</v>
      </c>
      <c r="I17" s="2">
        <f t="shared" ref="I17:J17" si="5">SUM(I5:I16)</f>
        <v>0</v>
      </c>
      <c r="J17" s="2">
        <f t="shared" si="5"/>
        <v>0</v>
      </c>
      <c r="K17" s="2">
        <f t="shared" si="4"/>
        <v>0</v>
      </c>
      <c r="L17" s="2">
        <f t="shared" si="0"/>
        <v>0</v>
      </c>
      <c r="M17" s="3">
        <f t="shared" si="1"/>
        <v>0</v>
      </c>
      <c r="N17" s="3">
        <f t="shared" si="2"/>
        <v>0</v>
      </c>
      <c r="O17" s="3">
        <f t="shared" si="3"/>
        <v>0</v>
      </c>
    </row>
  </sheetData>
  <mergeCells count="1">
    <mergeCell ref="G3:O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9768-820F-4172-8728-B741C718082B}">
  <dimension ref="C3:W3"/>
  <sheetViews>
    <sheetView topLeftCell="A3" zoomScale="85" zoomScaleNormal="85" workbookViewId="0">
      <selection activeCell="AA30" sqref="AA30"/>
    </sheetView>
  </sheetViews>
  <sheetFormatPr defaultRowHeight="15" x14ac:dyDescent="0.25"/>
  <sheetData>
    <row r="3" spans="3:23" ht="31.5" x14ac:dyDescent="0.5">
      <c r="C3" s="7" t="s">
        <v>22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</sheetData>
  <mergeCells count="1">
    <mergeCell ref="C3:W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B093-0B91-45F8-B89B-B4CCA7DC529F}">
  <dimension ref="C3:W3"/>
  <sheetViews>
    <sheetView topLeftCell="A10" zoomScaleNormal="100" workbookViewId="0">
      <selection activeCell="C3" sqref="C3:W3"/>
    </sheetView>
  </sheetViews>
  <sheetFormatPr defaultRowHeight="15" x14ac:dyDescent="0.25"/>
  <sheetData>
    <row r="3" spans="3:23" ht="31.5" x14ac:dyDescent="0.5">
      <c r="C3" s="7" t="s">
        <v>24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</sheetData>
  <mergeCells count="1">
    <mergeCell ref="C3:W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7C0F-99D4-4599-8C7D-33EAA3D49620}">
  <dimension ref="C3:W3"/>
  <sheetViews>
    <sheetView workbookViewId="0">
      <selection activeCell="Z14" sqref="Z14"/>
    </sheetView>
  </sheetViews>
  <sheetFormatPr defaultRowHeight="15" x14ac:dyDescent="0.25"/>
  <sheetData>
    <row r="3" spans="3:23" ht="31.5" x14ac:dyDescent="0.5">
      <c r="C3" s="7" t="s">
        <v>25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</sheetData>
  <mergeCells count="1">
    <mergeCell ref="C3:W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Relatório</vt:lpstr>
      <vt:lpstr>Setor de Presença e Absenteísmo</vt:lpstr>
      <vt:lpstr>Setor de Eficiência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Sgroi</dc:creator>
  <cp:lastModifiedBy>Enzo Sgroi</cp:lastModifiedBy>
  <dcterms:created xsi:type="dcterms:W3CDTF">2025-10-19T03:38:54Z</dcterms:created>
  <dcterms:modified xsi:type="dcterms:W3CDTF">2025-11-16T00:18:08Z</dcterms:modified>
</cp:coreProperties>
</file>